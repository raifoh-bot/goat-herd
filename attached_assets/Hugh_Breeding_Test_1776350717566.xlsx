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f097deea244e282f/Documents/"/>
    </mc:Choice>
  </mc:AlternateContent>
  <xr:revisionPtr revIDLastSave="0" documentId="8_{0F00F75A-18C8-4B65-BA7C-BE1A307F3315}" xr6:coauthVersionLast="47" xr6:coauthVersionMax="47" xr10:uidLastSave="{00000000-0000-0000-0000-000000000000}"/>
  <bookViews>
    <workbookView xWindow="20" yWindow="500" windowWidth="51200" windowHeight="26440" xr2:uid="{D1F8ACA6-7D17-5840-BA3D-2C72015F14C4}"/>
  </bookViews>
  <sheets>
    <sheet name="Dam" sheetId="1" r:id="rId1"/>
    <sheet name="Sire" sheetId="2" r:id="rId2"/>
    <sheet name="Kidding Record" sheetId="3" r:id="rId3"/>
    <sheet name="Notes" sheetId="4" r:id="rId4"/>
  </sheets>
  <definedNames>
    <definedName name="_xlnm._FilterDatabase" localSheetId="0" hidden="1">Dam!$B$1:$Q$1</definedName>
    <definedName name="_xlnm._FilterDatabase" localSheetId="2" hidden="1">'Kidding Record'!$A$1:$R$46</definedName>
    <definedName name="Dam">Dam!$B$2:$B$32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1" i="1" l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<sst xmlns="http://schemas.openxmlformats.org/spreadsheetml/2006/main" count="389" uniqueCount="210">
  <si>
    <t>Farm Name</t>
  </si>
  <si>
    <t>Registered Name</t>
  </si>
  <si>
    <t>Reg ID</t>
  </si>
  <si>
    <t>DOB</t>
  </si>
  <si>
    <t>Tat RE</t>
  </si>
  <si>
    <t>Tat LE</t>
  </si>
  <si>
    <t>Polled?</t>
  </si>
  <si>
    <t>Freshening Date 1</t>
  </si>
  <si>
    <t>Freshening Date 2</t>
  </si>
  <si>
    <t>Freshening Date 3</t>
  </si>
  <si>
    <t>Freshening Date 4</t>
  </si>
  <si>
    <t>Sold</t>
  </si>
  <si>
    <t>Dam</t>
  </si>
  <si>
    <t>Grand Dam</t>
  </si>
  <si>
    <t>Age as of Today</t>
  </si>
  <si>
    <t>Show Age (Input Show Date in Cell P1)</t>
  </si>
  <si>
    <t>Tootsie</t>
  </si>
  <si>
    <t>Boondocks Farm Tootsie</t>
  </si>
  <si>
    <t>D1818706</t>
  </si>
  <si>
    <t>E5</t>
  </si>
  <si>
    <t>NF5</t>
  </si>
  <si>
    <t>Marla</t>
  </si>
  <si>
    <t>KACO YellowRose BB Marla</t>
  </si>
  <si>
    <t>D1813364</t>
  </si>
  <si>
    <t>YEE LEE</t>
  </si>
  <si>
    <t>H1</t>
  </si>
  <si>
    <t>Ruby</t>
  </si>
  <si>
    <t>Phantom</t>
  </si>
  <si>
    <t>Mocha</t>
  </si>
  <si>
    <t>MR Goatfeathers Mocha Freeze</t>
  </si>
  <si>
    <t>D1843796</t>
  </si>
  <si>
    <t>MGF8</t>
  </si>
  <si>
    <t>H2</t>
  </si>
  <si>
    <t>Petula</t>
  </si>
  <si>
    <t>KACO YellowRose Rose Petula</t>
  </si>
  <si>
    <t>PD1969982P</t>
  </si>
  <si>
    <t>K39</t>
  </si>
  <si>
    <t>Diva</t>
  </si>
  <si>
    <t>MR Goatfeathers Lady Godiva</t>
  </si>
  <si>
    <t>D2046346</t>
  </si>
  <si>
    <t>L9</t>
  </si>
  <si>
    <t>Pima</t>
  </si>
  <si>
    <t>MR Goatfeathers Pima Girl</t>
  </si>
  <si>
    <t>PD2183701</t>
  </si>
  <si>
    <t>M2</t>
  </si>
  <si>
    <t>Patches</t>
  </si>
  <si>
    <t>MR Goatfeathers Payday Patches</t>
  </si>
  <si>
    <t>PD2183702</t>
  </si>
  <si>
    <t>M11</t>
  </si>
  <si>
    <t>Frosty</t>
  </si>
  <si>
    <t>MR Goatfeathers Frosty</t>
  </si>
  <si>
    <t>PD2183703</t>
  </si>
  <si>
    <t>M17</t>
  </si>
  <si>
    <t>LA</t>
  </si>
  <si>
    <t>MR Goatfeathers Lower Alabama</t>
  </si>
  <si>
    <t>PD2187788</t>
  </si>
  <si>
    <t>N12</t>
  </si>
  <si>
    <t>MJ</t>
  </si>
  <si>
    <t>MR Goatfeathers MJ</t>
  </si>
  <si>
    <t>PD2199948</t>
  </si>
  <si>
    <t>N24</t>
  </si>
  <si>
    <t>Esther</t>
  </si>
  <si>
    <t>MR Goatfeathers GS Esther</t>
  </si>
  <si>
    <t>PD2253378</t>
  </si>
  <si>
    <t>P4</t>
  </si>
  <si>
    <t>Hope</t>
  </si>
  <si>
    <t>MR Goatfeathers GS Hope</t>
  </si>
  <si>
    <t>PD2253377</t>
  </si>
  <si>
    <t>P13</t>
  </si>
  <si>
    <t>Squarcie</t>
  </si>
  <si>
    <t>MR Goatfeathers CS Squarecie</t>
  </si>
  <si>
    <t>PD2276422P</t>
  </si>
  <si>
    <t>P21</t>
  </si>
  <si>
    <t>Yes</t>
  </si>
  <si>
    <t>Posie</t>
  </si>
  <si>
    <t>MR Goatfeathers CS Posie Rae</t>
  </si>
  <si>
    <t>PD2275719P</t>
  </si>
  <si>
    <t>P30</t>
  </si>
  <si>
    <t>Posey</t>
  </si>
  <si>
    <t>THE AJJ Farm Parker Posey</t>
  </si>
  <si>
    <t>D1576401</t>
  </si>
  <si>
    <t>Elsie</t>
  </si>
  <si>
    <t>MR Goatfeathers CS Elsie</t>
  </si>
  <si>
    <t>PD2276423</t>
  </si>
  <si>
    <t>P25</t>
  </si>
  <si>
    <t>A'Dore</t>
  </si>
  <si>
    <t>MR Goatfeathers YRC A'Dore</t>
  </si>
  <si>
    <t>PD2343681</t>
  </si>
  <si>
    <t>R3</t>
  </si>
  <si>
    <t>Flo</t>
  </si>
  <si>
    <t>MR Goatfeathers YRC Flo-Rida</t>
  </si>
  <si>
    <t>PD2343474</t>
  </si>
  <si>
    <t>R4</t>
  </si>
  <si>
    <t>Penelope</t>
  </si>
  <si>
    <t>MR Goatfeathers TA Penelope</t>
  </si>
  <si>
    <t>PD2419978P</t>
  </si>
  <si>
    <t>S12</t>
  </si>
  <si>
    <t>Rousey</t>
  </si>
  <si>
    <t>MR Goatfeathers TA Rousey</t>
  </si>
  <si>
    <t>PD2419979</t>
  </si>
  <si>
    <t>S14</t>
  </si>
  <si>
    <t>Milky Way</t>
  </si>
  <si>
    <t>MR Goatfeathers TA Milky Way</t>
  </si>
  <si>
    <t>PD2420057</t>
  </si>
  <si>
    <t>S19</t>
  </si>
  <si>
    <t>Cojo</t>
  </si>
  <si>
    <t>MR Goatfeathers TA Cojo</t>
  </si>
  <si>
    <t>PD2420059</t>
  </si>
  <si>
    <t>S42</t>
  </si>
  <si>
    <t>Frankie</t>
  </si>
  <si>
    <t>MR Goatfeathers TA Frank-ncens</t>
  </si>
  <si>
    <t>PD2420221</t>
  </si>
  <si>
    <t>S48</t>
  </si>
  <si>
    <t>Hibiscus</t>
  </si>
  <si>
    <t>KACO YellowRose Hibiscus</t>
  </si>
  <si>
    <t>PD1716490</t>
  </si>
  <si>
    <t>Profile</t>
  </si>
  <si>
    <t>CH 40 West Farm High Profile</t>
  </si>
  <si>
    <t>D1742280</t>
  </si>
  <si>
    <t>Carmella</t>
  </si>
  <si>
    <t>AGS Good Measure Farm Phantom</t>
  </si>
  <si>
    <t>D1544900</t>
  </si>
  <si>
    <t>KACO YellowRose Ruby Holstein</t>
  </si>
  <si>
    <t>D1556637P</t>
  </si>
  <si>
    <t>Smores</t>
  </si>
  <si>
    <t>Lil Red</t>
  </si>
  <si>
    <t>MR Goatfeathers Little Red</t>
  </si>
  <si>
    <t>D2129692</t>
  </si>
  <si>
    <t>L16</t>
  </si>
  <si>
    <t>Connie</t>
  </si>
  <si>
    <t>KACO YellowRose Conception</t>
  </si>
  <si>
    <t>D2020339</t>
  </si>
  <si>
    <t>Age</t>
  </si>
  <si>
    <t>Curtis</t>
  </si>
  <si>
    <t>KACO YellowRose Curtis Snow</t>
  </si>
  <si>
    <t>PD1852965</t>
  </si>
  <si>
    <t>Charlie</t>
  </si>
  <si>
    <t>Caplon Kidz Charlie</t>
  </si>
  <si>
    <t>PD1786989</t>
  </si>
  <si>
    <t>Gunnie</t>
  </si>
  <si>
    <t>Caprine Acres HS Gun Slinger</t>
  </si>
  <si>
    <t>PD1881391</t>
  </si>
  <si>
    <t>Tango</t>
  </si>
  <si>
    <t>KACO YellowRose Curtis Tango</t>
  </si>
  <si>
    <t>PD1910068</t>
  </si>
  <si>
    <t>Cassinova</t>
  </si>
  <si>
    <t>KACO YellowRose Cassinova</t>
  </si>
  <si>
    <t>PD1852966</t>
  </si>
  <si>
    <t>Monster</t>
  </si>
  <si>
    <t>KACO YelloRose Blackstrap</t>
  </si>
  <si>
    <t>D1627762</t>
  </si>
  <si>
    <t>Wood Bridge Farm Bourre</t>
  </si>
  <si>
    <t>D1639268</t>
  </si>
  <si>
    <t>Petey</t>
  </si>
  <si>
    <t>40 West Farm News Alert</t>
  </si>
  <si>
    <t>PD2037027</t>
  </si>
  <si>
    <t>Bentley</t>
  </si>
  <si>
    <t>KACO YelloRose Bentely Freeze</t>
  </si>
  <si>
    <t>D1730179</t>
  </si>
  <si>
    <t>KACO YelloRose Curtis Snow</t>
  </si>
  <si>
    <t>Wooly</t>
  </si>
  <si>
    <t>AGS Wooly Dog Down Abanero</t>
  </si>
  <si>
    <t>D1567609</t>
  </si>
  <si>
    <t>Hanks</t>
  </si>
  <si>
    <t>MR Goatfeather NE Hank</t>
  </si>
  <si>
    <t>PD2251011</t>
  </si>
  <si>
    <t>MGFB</t>
  </si>
  <si>
    <t>P8</t>
  </si>
  <si>
    <t>Newsboy</t>
  </si>
  <si>
    <t>Castle Rock Newsboy</t>
  </si>
  <si>
    <t>D1894626</t>
  </si>
  <si>
    <t>Klinger</t>
  </si>
  <si>
    <t>MR Goatfeather Klinger</t>
  </si>
  <si>
    <t>PD2198288</t>
  </si>
  <si>
    <t>N16</t>
  </si>
  <si>
    <t>Tex</t>
  </si>
  <si>
    <t>Buffalo Clover Errol Flynn</t>
  </si>
  <si>
    <t>Trouble</t>
  </si>
  <si>
    <t>Chancey</t>
  </si>
  <si>
    <t>KACO YelloRose Chancey</t>
  </si>
  <si>
    <t>ID/Birth Order</t>
  </si>
  <si>
    <t>Sex</t>
  </si>
  <si>
    <t>Sire</t>
  </si>
  <si>
    <t>Color</t>
  </si>
  <si>
    <t>Notes</t>
  </si>
  <si>
    <t>Dead?</t>
  </si>
  <si>
    <t>Sold?</t>
  </si>
  <si>
    <t>Sold Registered?</t>
  </si>
  <si>
    <t>Buyer</t>
  </si>
  <si>
    <t>Sale Date</t>
  </si>
  <si>
    <t>F</t>
  </si>
  <si>
    <t>Squarecie</t>
  </si>
  <si>
    <t>MR Goatfeathers CS Squarcie</t>
  </si>
  <si>
    <t>Snickers</t>
  </si>
  <si>
    <t>W</t>
  </si>
  <si>
    <t>DOA</t>
  </si>
  <si>
    <t>M</t>
  </si>
  <si>
    <t>Frappi</t>
  </si>
  <si>
    <t>Buck? Sold?</t>
  </si>
  <si>
    <t>?</t>
  </si>
  <si>
    <t>Baby</t>
  </si>
  <si>
    <t>Cinnamon</t>
  </si>
  <si>
    <t>Nutella</t>
  </si>
  <si>
    <t>Hershey</t>
  </si>
  <si>
    <t>Rolo</t>
  </si>
  <si>
    <t>Oonkie</t>
  </si>
  <si>
    <t>Truffle</t>
  </si>
  <si>
    <t>Shazzy</t>
  </si>
  <si>
    <t>S1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</si>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</sst>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4"/>
      <color rgb="FF11111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Consolas"/>
      <family val="2"/>
    </font>
    <font>
      <sz val="12"/>
      <color rgb="FF11111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wrapText="1"/>
    </xf>
    <xf numFmtId="14" fontId="2" fillId="0" borderId="0" xfId="0" applyNumberFormat="1" applyFont="1"/>
    <xf numFmtId="0" fontId="3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/>
    <xf numFmtId="0" fontId="0" fillId="0" borderId="0" xfId="0" applyFont="1"/>
    <xf numFmtId="14" fontId="0" fillId="0" borderId="0" xfId="0" applyNumberFormat="1" applyFont="1"/>
    <xf numFmtId="0" fontId="2" fillId="0" borderId="0" xfId="0" applyFont="1" applyAlignment="1">
      <alignment wrapText="1"/>
    </xf>
    <xf numFmtId="0" fontId="0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ED84-A6A8-3A4D-ABFA-3F891EE57253}">
  <dimension ref="B1:R41"/>
  <sheetViews>
    <sheetView tabSelected="1" zoomScale="120" zoomScaleNormal="120" workbookViewId="0">
      <selection activeCell="D5" sqref="D5"/>
    </sheetView>
  </sheetViews>
  <sheetFormatPr defaultColWidth="11" defaultRowHeight="15.95"/>
  <cols>
    <col min="3" max="3" width="28.125" bestFit="1" customWidth="1"/>
    <col min="9" max="12" width="18.625" bestFit="1" customWidth="1"/>
    <col min="13" max="15" width="13.625" customWidth="1"/>
    <col min="16" max="16" width="39.375" bestFit="1" customWidth="1"/>
    <col min="17" max="17" width="33.875" bestFit="1" customWidth="1"/>
  </cols>
  <sheetData>
    <row r="1" spans="2:18" s="3" customFormat="1" ht="108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12" t="s">
        <v>13</v>
      </c>
      <c r="P1" s="3" t="s">
        <v>14</v>
      </c>
      <c r="Q1" s="4" t="s">
        <v>15</v>
      </c>
      <c r="R1" s="5"/>
    </row>
    <row r="2" spans="2:18" ht="18.95">
      <c r="B2" t="s">
        <v>16</v>
      </c>
      <c r="C2" t="s">
        <v>17</v>
      </c>
      <c r="D2" t="s">
        <v>18</v>
      </c>
      <c r="E2" s="1">
        <v>41861</v>
      </c>
      <c r="F2" t="s">
        <v>19</v>
      </c>
      <c r="G2" t="s">
        <v>20</v>
      </c>
      <c r="P2" s="2" t="str">
        <f ca="1">IF(OR(E2=""),"",DATEDIF(E2,TODAY(),"Y")&amp;" Years, "&amp;DATEDIF(E2,TODAY(),"YM")&amp;" Months, "&amp;DATEDIF(E2,TODAY(),"MD")&amp;" Days")</f>
        <v>11 Years, 8 Months, 6 Days</v>
      </c>
      <c r="Q2" s="6" t="str">
        <f>IF(OR(E2="",$R$1=""),"",DATEDIF(E2,$R$1,"Y")&amp;" Years "&amp;DATEDIF(E2,$R$1,"YM")&amp;" Months "&amp;DATEDIF(E2,$R$1,"MD")&amp;" Days")</f>
        <v/>
      </c>
    </row>
    <row r="3" spans="2:18" ht="18.95">
      <c r="B3" t="s">
        <v>21</v>
      </c>
      <c r="C3" t="s">
        <v>22</v>
      </c>
      <c r="D3" t="s">
        <v>23</v>
      </c>
      <c r="E3" s="1">
        <v>42414</v>
      </c>
      <c r="F3" t="s">
        <v>24</v>
      </c>
      <c r="G3" t="s">
        <v>25</v>
      </c>
      <c r="N3" t="s">
        <v>26</v>
      </c>
      <c r="O3" t="s">
        <v>27</v>
      </c>
      <c r="P3" s="2" t="str">
        <f t="shared" ref="P3:P41" ca="1" si="0">IF(OR(E3=""),"",DATEDIF(E3,TODAY(),"Y")&amp;" Years, "&amp;DATEDIF(E3,TODAY(),"YM")&amp;" Months, "&amp;DATEDIF(E3,TODAY(),"MD")&amp;" Days")</f>
        <v>10 Years, 2 Months, 2 Days</v>
      </c>
      <c r="Q3" s="6" t="str">
        <f t="shared" ref="Q3:Q28" si="1">IF(OR(E3="",$R$1=""),"",DATEDIF(E3,$R$1,"Y")&amp;" Years "&amp;DATEDIF(E3,$R$1,"YM")&amp;" Months "&amp;DATEDIF(E3,$R$1,"MD")&amp;" Days")</f>
        <v/>
      </c>
    </row>
    <row r="4" spans="2:18" ht="18.95">
      <c r="B4" t="s">
        <v>28</v>
      </c>
      <c r="C4" t="s">
        <v>29</v>
      </c>
      <c r="D4" t="s">
        <v>30</v>
      </c>
      <c r="E4" s="1">
        <v>42643</v>
      </c>
      <c r="F4" t="s">
        <v>31</v>
      </c>
      <c r="G4" t="s">
        <v>32</v>
      </c>
      <c r="P4" s="2" t="str">
        <f t="shared" ca="1" si="0"/>
        <v>9 Years, 6 Months, 17 Days</v>
      </c>
      <c r="Q4" s="6" t="str">
        <f t="shared" si="1"/>
        <v/>
      </c>
    </row>
    <row r="5" spans="2:18" ht="18.95">
      <c r="B5" t="s">
        <v>33</v>
      </c>
      <c r="C5" t="s">
        <v>34</v>
      </c>
      <c r="D5" t="s">
        <v>35</v>
      </c>
      <c r="E5" s="1">
        <v>43307</v>
      </c>
      <c r="F5" t="s">
        <v>24</v>
      </c>
      <c r="G5" t="s">
        <v>36</v>
      </c>
      <c r="P5" s="2" t="str">
        <f t="shared" ca="1" si="0"/>
        <v>7 Years, 8 Months, 21 Days</v>
      </c>
      <c r="Q5" s="6" t="str">
        <f t="shared" si="1"/>
        <v/>
      </c>
    </row>
    <row r="6" spans="2:18" ht="18.95">
      <c r="B6" t="s">
        <v>37</v>
      </c>
      <c r="C6" t="s">
        <v>38</v>
      </c>
      <c r="D6" t="s">
        <v>39</v>
      </c>
      <c r="E6" s="1">
        <v>43557</v>
      </c>
      <c r="F6" t="s">
        <v>31</v>
      </c>
      <c r="G6" t="s">
        <v>40</v>
      </c>
      <c r="P6" s="2" t="str">
        <f t="shared" ca="1" si="0"/>
        <v>7 Years, 0 Months, 14 Days</v>
      </c>
      <c r="Q6" s="6" t="str">
        <f t="shared" si="1"/>
        <v/>
      </c>
    </row>
    <row r="7" spans="2:18" ht="18.95">
      <c r="B7" t="s">
        <v>41</v>
      </c>
      <c r="C7" t="s">
        <v>42</v>
      </c>
      <c r="D7" t="s">
        <v>43</v>
      </c>
      <c r="E7" s="1">
        <v>43914</v>
      </c>
      <c r="F7" t="s">
        <v>31</v>
      </c>
      <c r="G7" t="s">
        <v>44</v>
      </c>
      <c r="P7" s="2" t="str">
        <f t="shared" ca="1" si="0"/>
        <v>6 Years, 0 Months, 23 Days</v>
      </c>
      <c r="Q7" s="6" t="str">
        <f t="shared" si="1"/>
        <v/>
      </c>
    </row>
    <row r="8" spans="2:18" ht="18.95">
      <c r="B8" t="s">
        <v>45</v>
      </c>
      <c r="C8" t="s">
        <v>46</v>
      </c>
      <c r="D8" t="s">
        <v>47</v>
      </c>
      <c r="E8" s="1">
        <v>43923</v>
      </c>
      <c r="F8" t="s">
        <v>31</v>
      </c>
      <c r="G8" t="s">
        <v>48</v>
      </c>
      <c r="P8" s="2" t="str">
        <f t="shared" ca="1" si="0"/>
        <v>6 Years, 0 Months, 14 Days</v>
      </c>
      <c r="Q8" s="6" t="str">
        <f t="shared" si="1"/>
        <v/>
      </c>
    </row>
    <row r="9" spans="2:18" ht="18.95">
      <c r="B9" t="s">
        <v>49</v>
      </c>
      <c r="C9" t="s">
        <v>50</v>
      </c>
      <c r="D9" t="s">
        <v>51</v>
      </c>
      <c r="E9" s="1">
        <v>43933</v>
      </c>
      <c r="F9" t="s">
        <v>31</v>
      </c>
      <c r="G9" t="s">
        <v>52</v>
      </c>
      <c r="P9" s="2" t="str">
        <f t="shared" ca="1" si="0"/>
        <v>6 Years, 0 Months, 4 Days</v>
      </c>
      <c r="Q9" s="6" t="str">
        <f t="shared" si="1"/>
        <v/>
      </c>
    </row>
    <row r="10" spans="2:18" ht="18.95">
      <c r="B10" t="s">
        <v>53</v>
      </c>
      <c r="C10" t="s">
        <v>54</v>
      </c>
      <c r="D10" t="s">
        <v>55</v>
      </c>
      <c r="E10" s="1">
        <v>44248</v>
      </c>
      <c r="F10" t="s">
        <v>31</v>
      </c>
      <c r="G10" t="s">
        <v>56</v>
      </c>
      <c r="P10" s="2" t="str">
        <f t="shared" ca="1" si="0"/>
        <v>5 Years, 1 Months, 26 Days</v>
      </c>
      <c r="Q10" s="6" t="str">
        <f t="shared" si="1"/>
        <v/>
      </c>
    </row>
    <row r="11" spans="2:18" ht="18.95">
      <c r="B11" t="s">
        <v>57</v>
      </c>
      <c r="C11" t="s">
        <v>58</v>
      </c>
      <c r="D11" t="s">
        <v>59</v>
      </c>
      <c r="E11" s="1">
        <v>44439</v>
      </c>
      <c r="F11" t="s">
        <v>31</v>
      </c>
      <c r="G11" t="s">
        <v>60</v>
      </c>
      <c r="P11" s="2" t="str">
        <f t="shared" ca="1" si="0"/>
        <v>4 Years, 7 Months, 16 Days</v>
      </c>
      <c r="Q11" s="6" t="str">
        <f t="shared" si="1"/>
        <v/>
      </c>
    </row>
    <row r="12" spans="2:18" ht="18.95">
      <c r="B12" t="s">
        <v>61</v>
      </c>
      <c r="C12" t="s">
        <v>62</v>
      </c>
      <c r="D12" t="s">
        <v>63</v>
      </c>
      <c r="E12" s="1">
        <v>44628</v>
      </c>
      <c r="F12" t="s">
        <v>31</v>
      </c>
      <c r="G12" t="s">
        <v>64</v>
      </c>
      <c r="P12" s="2" t="str">
        <f t="shared" ca="1" si="0"/>
        <v>4 Years, 1 Months, 8 Days</v>
      </c>
      <c r="Q12" s="6" t="str">
        <f t="shared" si="1"/>
        <v/>
      </c>
    </row>
    <row r="13" spans="2:18" ht="18.95">
      <c r="B13" t="s">
        <v>65</v>
      </c>
      <c r="C13" t="s">
        <v>66</v>
      </c>
      <c r="D13" t="s">
        <v>67</v>
      </c>
      <c r="E13" s="1">
        <v>44637</v>
      </c>
      <c r="F13" t="s">
        <v>31</v>
      </c>
      <c r="G13" t="s">
        <v>68</v>
      </c>
      <c r="P13" s="2" t="str">
        <f t="shared" ca="1" si="0"/>
        <v>4 Years, 0 Months, 30 Days</v>
      </c>
      <c r="Q13" s="6" t="str">
        <f t="shared" si="1"/>
        <v/>
      </c>
    </row>
    <row r="14" spans="2:18" ht="18.95">
      <c r="B14" t="s">
        <v>69</v>
      </c>
      <c r="C14" t="s">
        <v>70</v>
      </c>
      <c r="D14" t="s">
        <v>71</v>
      </c>
      <c r="E14" s="1">
        <v>44768</v>
      </c>
      <c r="F14" t="s">
        <v>31</v>
      </c>
      <c r="G14" t="s">
        <v>72</v>
      </c>
      <c r="H14" t="s">
        <v>73</v>
      </c>
      <c r="P14" s="2" t="str">
        <f t="shared" ca="1" si="0"/>
        <v>3 Years, 8 Months, 21 Days</v>
      </c>
      <c r="Q14" s="6" t="str">
        <f t="shared" si="1"/>
        <v/>
      </c>
    </row>
    <row r="15" spans="2:18" ht="18.95">
      <c r="B15" t="s">
        <v>74</v>
      </c>
      <c r="C15" t="s">
        <v>75</v>
      </c>
      <c r="D15" t="s">
        <v>76</v>
      </c>
      <c r="E15" s="1">
        <v>44777</v>
      </c>
      <c r="F15" t="s">
        <v>31</v>
      </c>
      <c r="G15" t="s">
        <v>77</v>
      </c>
      <c r="H15" t="s">
        <v>73</v>
      </c>
      <c r="P15" s="2" t="str">
        <f t="shared" ca="1" si="0"/>
        <v>3 Years, 8 Months, 12 Days</v>
      </c>
      <c r="Q15" s="6" t="str">
        <f t="shared" si="1"/>
        <v/>
      </c>
    </row>
    <row r="16" spans="2:18" ht="18.95">
      <c r="B16" t="s">
        <v>78</v>
      </c>
      <c r="C16" t="s">
        <v>79</v>
      </c>
      <c r="D16" t="s">
        <v>80</v>
      </c>
      <c r="E16" s="1">
        <v>44777</v>
      </c>
      <c r="F16" t="s">
        <v>31</v>
      </c>
      <c r="G16" t="s">
        <v>77</v>
      </c>
      <c r="P16" s="2" t="str">
        <f t="shared" ca="1" si="0"/>
        <v>3 Years, 8 Months, 12 Days</v>
      </c>
      <c r="Q16" s="6" t="str">
        <f t="shared" si="1"/>
        <v/>
      </c>
    </row>
    <row r="17" spans="2:17" ht="18.95">
      <c r="B17" t="s">
        <v>81</v>
      </c>
      <c r="C17" t="s">
        <v>82</v>
      </c>
      <c r="D17" t="s">
        <v>83</v>
      </c>
      <c r="E17" s="1">
        <v>44784</v>
      </c>
      <c r="F17" t="s">
        <v>31</v>
      </c>
      <c r="G17" t="s">
        <v>84</v>
      </c>
      <c r="P17" s="2" t="str">
        <f t="shared" ca="1" si="0"/>
        <v>3 Years, 8 Months, 5 Days</v>
      </c>
      <c r="Q17" s="6" t="str">
        <f t="shared" si="1"/>
        <v/>
      </c>
    </row>
    <row r="18" spans="2:17" ht="18.95">
      <c r="B18" t="s">
        <v>85</v>
      </c>
      <c r="C18" t="s">
        <v>86</v>
      </c>
      <c r="D18" t="s">
        <v>87</v>
      </c>
      <c r="E18" s="1">
        <v>44997</v>
      </c>
      <c r="F18" t="s">
        <v>31</v>
      </c>
      <c r="G18" t="s">
        <v>88</v>
      </c>
      <c r="P18" s="2" t="str">
        <f t="shared" ca="1" si="0"/>
        <v>3 Years, 1 Months, 4 Days</v>
      </c>
      <c r="Q18" s="6" t="str">
        <f t="shared" si="1"/>
        <v/>
      </c>
    </row>
    <row r="19" spans="2:17" ht="18.95">
      <c r="B19" t="s">
        <v>89</v>
      </c>
      <c r="C19" t="s">
        <v>90</v>
      </c>
      <c r="D19" t="s">
        <v>91</v>
      </c>
      <c r="E19" s="1">
        <v>44998</v>
      </c>
      <c r="F19" t="s">
        <v>31</v>
      </c>
      <c r="G19" t="s">
        <v>92</v>
      </c>
      <c r="P19" s="2" t="str">
        <f t="shared" ca="1" si="0"/>
        <v>3 Years, 1 Months, 3 Days</v>
      </c>
      <c r="Q19" s="6" t="str">
        <f t="shared" si="1"/>
        <v/>
      </c>
    </row>
    <row r="20" spans="2:17" ht="18.95">
      <c r="B20" t="s">
        <v>93</v>
      </c>
      <c r="C20" t="s">
        <v>94</v>
      </c>
      <c r="D20" t="s">
        <v>95</v>
      </c>
      <c r="E20" s="1">
        <v>45363</v>
      </c>
      <c r="F20" t="s">
        <v>31</v>
      </c>
      <c r="G20" t="s">
        <v>96</v>
      </c>
      <c r="H20" t="s">
        <v>73</v>
      </c>
      <c r="P20" s="2" t="str">
        <f t="shared" ca="1" si="0"/>
        <v>2 Years, 1 Months, 4 Days</v>
      </c>
      <c r="Q20" s="6" t="str">
        <f t="shared" si="1"/>
        <v/>
      </c>
    </row>
    <row r="21" spans="2:17" ht="18.95">
      <c r="B21" t="s">
        <v>97</v>
      </c>
      <c r="C21" t="s">
        <v>98</v>
      </c>
      <c r="D21" t="s">
        <v>99</v>
      </c>
      <c r="E21" s="1">
        <v>45363</v>
      </c>
      <c r="F21" t="s">
        <v>31</v>
      </c>
      <c r="G21" t="s">
        <v>100</v>
      </c>
      <c r="P21" s="2" t="str">
        <f t="shared" ca="1" si="0"/>
        <v>2 Years, 1 Months, 4 Days</v>
      </c>
      <c r="Q21" s="6" t="str">
        <f t="shared" si="1"/>
        <v/>
      </c>
    </row>
    <row r="22" spans="2:17" ht="18.95">
      <c r="B22" t="s">
        <v>101</v>
      </c>
      <c r="C22" t="s">
        <v>102</v>
      </c>
      <c r="D22" t="s">
        <v>103</v>
      </c>
      <c r="E22" s="1">
        <v>45366</v>
      </c>
      <c r="F22" t="s">
        <v>31</v>
      </c>
      <c r="G22" t="s">
        <v>104</v>
      </c>
      <c r="P22" s="2" t="str">
        <f t="shared" ca="1" si="0"/>
        <v>2 Years, 1 Months, 1 Days</v>
      </c>
      <c r="Q22" s="6" t="str">
        <f t="shared" si="1"/>
        <v/>
      </c>
    </row>
    <row r="23" spans="2:17" ht="18.95">
      <c r="B23" t="s">
        <v>105</v>
      </c>
      <c r="C23" t="s">
        <v>106</v>
      </c>
      <c r="D23" t="s">
        <v>107</v>
      </c>
      <c r="E23" s="1">
        <v>45384</v>
      </c>
      <c r="F23" t="s">
        <v>31</v>
      </c>
      <c r="G23" t="s">
        <v>108</v>
      </c>
      <c r="P23" s="2" t="str">
        <f t="shared" ca="1" si="0"/>
        <v>2 Years, 0 Months, 14 Days</v>
      </c>
      <c r="Q23" s="6" t="str">
        <f t="shared" si="1"/>
        <v/>
      </c>
    </row>
    <row r="24" spans="2:17" ht="18.95">
      <c r="B24" t="s">
        <v>109</v>
      </c>
      <c r="C24" t="s">
        <v>110</v>
      </c>
      <c r="D24" t="s">
        <v>111</v>
      </c>
      <c r="E24" s="1">
        <v>45390</v>
      </c>
      <c r="F24" t="s">
        <v>31</v>
      </c>
      <c r="G24" t="s">
        <v>112</v>
      </c>
      <c r="P24" s="2" t="str">
        <f t="shared" ca="1" si="0"/>
        <v>2 Years, 0 Months, 8 Days</v>
      </c>
      <c r="Q24" s="6" t="str">
        <f t="shared" si="1"/>
        <v/>
      </c>
    </row>
    <row r="25" spans="2:17" ht="18.95">
      <c r="B25" t="s">
        <v>113</v>
      </c>
      <c r="C25" t="s">
        <v>114</v>
      </c>
      <c r="D25" t="s">
        <v>115</v>
      </c>
      <c r="P25" s="2" t="str">
        <f t="shared" ca="1" si="0"/>
        <v/>
      </c>
      <c r="Q25" s="6" t="str">
        <f t="shared" si="1"/>
        <v/>
      </c>
    </row>
    <row r="26" spans="2:17" ht="18.95">
      <c r="B26" t="s">
        <v>116</v>
      </c>
      <c r="C26" t="s">
        <v>117</v>
      </c>
      <c r="D26" t="s">
        <v>118</v>
      </c>
      <c r="P26" s="2" t="str">
        <f t="shared" ca="1" si="0"/>
        <v/>
      </c>
      <c r="Q26" s="6" t="str">
        <f t="shared" si="1"/>
        <v/>
      </c>
    </row>
    <row r="27" spans="2:17" ht="18.95">
      <c r="B27" t="s">
        <v>119</v>
      </c>
      <c r="P27" s="2" t="str">
        <f t="shared" ca="1" si="0"/>
        <v/>
      </c>
      <c r="Q27" s="6" t="str">
        <f t="shared" si="1"/>
        <v/>
      </c>
    </row>
    <row r="28" spans="2:17" ht="18.95">
      <c r="B28" t="s">
        <v>27</v>
      </c>
      <c r="C28" t="s">
        <v>120</v>
      </c>
      <c r="D28" t="s">
        <v>121</v>
      </c>
      <c r="P28" s="2" t="str">
        <f t="shared" ca="1" si="0"/>
        <v/>
      </c>
      <c r="Q28" s="6" t="str">
        <f t="shared" si="1"/>
        <v/>
      </c>
    </row>
    <row r="29" spans="2:17" ht="18.95">
      <c r="B29" t="s">
        <v>26</v>
      </c>
      <c r="C29" t="s">
        <v>122</v>
      </c>
      <c r="D29" t="s">
        <v>123</v>
      </c>
      <c r="P29" s="2" t="str">
        <f t="shared" ca="1" si="0"/>
        <v/>
      </c>
    </row>
    <row r="30" spans="2:17" ht="18.95">
      <c r="B30" t="s">
        <v>124</v>
      </c>
      <c r="P30" s="2" t="str">
        <f t="shared" ca="1" si="0"/>
        <v/>
      </c>
    </row>
    <row r="31" spans="2:17" ht="18.95">
      <c r="B31" t="s">
        <v>125</v>
      </c>
      <c r="C31" t="s">
        <v>126</v>
      </c>
      <c r="D31" t="s">
        <v>127</v>
      </c>
      <c r="E31" s="1">
        <v>43703</v>
      </c>
      <c r="F31" t="s">
        <v>31</v>
      </c>
      <c r="G31" t="s">
        <v>128</v>
      </c>
      <c r="P31" s="2" t="str">
        <f t="shared" ca="1" si="0"/>
        <v>6 Years, 7 Months, 21 Days</v>
      </c>
    </row>
    <row r="32" spans="2:17" ht="18.95">
      <c r="B32" t="s">
        <v>129</v>
      </c>
      <c r="C32" t="s">
        <v>130</v>
      </c>
      <c r="D32" t="s">
        <v>131</v>
      </c>
      <c r="E32" s="1">
        <v>42847</v>
      </c>
      <c r="P32" s="2" t="str">
        <f t="shared" ca="1" si="0"/>
        <v>8 Years, 11 Months, 25 Days</v>
      </c>
    </row>
    <row r="33" spans="16:16" ht="18.95">
      <c r="P33" s="2" t="str">
        <f t="shared" ca="1" si="0"/>
        <v/>
      </c>
    </row>
    <row r="34" spans="16:16" ht="18.95">
      <c r="P34" s="2" t="str">
        <f t="shared" ca="1" si="0"/>
        <v/>
      </c>
    </row>
    <row r="35" spans="16:16" ht="18.95">
      <c r="P35" s="2" t="str">
        <f t="shared" ca="1" si="0"/>
        <v/>
      </c>
    </row>
    <row r="36" spans="16:16" ht="18.95">
      <c r="P36" s="2" t="str">
        <f t="shared" ca="1" si="0"/>
        <v/>
      </c>
    </row>
    <row r="37" spans="16:16" ht="18.95">
      <c r="P37" s="2" t="str">
        <f t="shared" ca="1" si="0"/>
        <v/>
      </c>
    </row>
    <row r="38" spans="16:16" ht="18.95">
      <c r="P38" s="2" t="str">
        <f t="shared" ca="1" si="0"/>
        <v/>
      </c>
    </row>
    <row r="39" spans="16:16" ht="18.95">
      <c r="P39" s="2" t="str">
        <f t="shared" ca="1" si="0"/>
        <v/>
      </c>
    </row>
    <row r="40" spans="16:16" ht="18.95">
      <c r="P40" s="2" t="str">
        <f t="shared" ca="1" si="0"/>
        <v/>
      </c>
    </row>
    <row r="41" spans="16:16" ht="18.95">
      <c r="P41" s="2" t="str">
        <f t="shared" ca="1" si="0"/>
        <v/>
      </c>
    </row>
  </sheetData>
  <autoFilter ref="B1:Q1" xr:uid="{F708ED84-A6A8-3A4D-ABFA-3F891EE57253}">
    <sortState xmlns:xlrd2="http://schemas.microsoft.com/office/spreadsheetml/2017/richdata2" ref="B2:Q28">
      <sortCondition ref="E1:E28"/>
    </sortState>
  </autoFilter>
  <sortState xmlns:xlrd2="http://schemas.microsoft.com/office/spreadsheetml/2017/richdata2" ref="B2:Q28">
    <sortCondition ref="E2:E28"/>
  </sortState>
  <dataValidations count="1">
    <dataValidation type="list" allowBlank="1" showInputMessage="1" showErrorMessage="1" sqref="N2:O43" xr:uid="{6E7D87F4-D47A-9644-9704-A362ECC52B82}">
      <formula1>$B$2:$B$44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D2561C-15DE-5D41-8D56-591CA33ECD78}">
          <x14:formula1>
            <xm:f>Notes!$B$7:$B$8</xm:f>
          </x14:formula1>
          <xm:sqref>H2:H25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6A2D-4F88-AB40-9946-9FB6ED8F4310}">
  <dimension ref="B1:I21"/>
  <sheetViews>
    <sheetView zoomScale="120" zoomScaleNormal="120" workbookViewId="0">
      <selection activeCell="C8" sqref="C8"/>
    </sheetView>
  </sheetViews>
  <sheetFormatPr defaultColWidth="11" defaultRowHeight="15.95"/>
  <cols>
    <col min="2" max="2" width="12.5" bestFit="1" customWidth="1"/>
    <col min="3" max="3" width="25.875" bestFit="1" customWidth="1"/>
    <col min="9" max="9" width="28.125" bestFit="1" customWidth="1"/>
  </cols>
  <sheetData>
    <row r="1" spans="2:9" s="3" customFormat="1" ht="53.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132</v>
      </c>
    </row>
    <row r="2" spans="2:9">
      <c r="B2" t="s">
        <v>133</v>
      </c>
      <c r="C2" t="s">
        <v>134</v>
      </c>
      <c r="D2" t="s">
        <v>135</v>
      </c>
      <c r="I2" s="9" t="str">
        <f ca="1">IF(OR(E2=""),"",DATEDIF(E2,TODAY(),"Y")&amp;" Years, "&amp;DATEDIF(E2,TODAY(),"YM")&amp;" Months, "&amp;DATEDIF(E2,TODAY(),"MD")&amp;" Days")</f>
        <v/>
      </c>
    </row>
    <row r="3" spans="2:9">
      <c r="B3" t="s">
        <v>136</v>
      </c>
      <c r="C3" t="s">
        <v>137</v>
      </c>
      <c r="D3" t="s">
        <v>138</v>
      </c>
      <c r="I3" s="9" t="str">
        <f t="shared" ref="I3:I21" ca="1" si="0">IF(OR(E3=""),"",DATEDIF(E3,TODAY(),"Y")&amp;" Years, "&amp;DATEDIF(E3,TODAY(),"YM")&amp;" Months, "&amp;DATEDIF(E3,TODAY(),"MD")&amp;" Days")</f>
        <v/>
      </c>
    </row>
    <row r="4" spans="2:9">
      <c r="B4" t="s">
        <v>139</v>
      </c>
      <c r="C4" t="s">
        <v>140</v>
      </c>
      <c r="D4" t="s">
        <v>141</v>
      </c>
      <c r="I4" s="9" t="str">
        <f t="shared" ca="1" si="0"/>
        <v/>
      </c>
    </row>
    <row r="5" spans="2:9">
      <c r="B5" t="s">
        <v>142</v>
      </c>
      <c r="C5" t="s">
        <v>143</v>
      </c>
      <c r="D5" t="s">
        <v>144</v>
      </c>
      <c r="I5" s="9" t="str">
        <f t="shared" ca="1" si="0"/>
        <v/>
      </c>
    </row>
    <row r="6" spans="2:9">
      <c r="B6" t="s">
        <v>145</v>
      </c>
      <c r="C6" t="s">
        <v>146</v>
      </c>
      <c r="D6" t="s">
        <v>147</v>
      </c>
      <c r="I6" s="9" t="str">
        <f t="shared" ca="1" si="0"/>
        <v/>
      </c>
    </row>
    <row r="7" spans="2:9">
      <c r="B7" t="s">
        <v>148</v>
      </c>
      <c r="C7" t="s">
        <v>149</v>
      </c>
      <c r="D7" t="s">
        <v>150</v>
      </c>
      <c r="I7" s="9" t="str">
        <f t="shared" ca="1" si="0"/>
        <v/>
      </c>
    </row>
    <row r="8" spans="2:9">
      <c r="C8" t="s">
        <v>151</v>
      </c>
      <c r="D8" t="s">
        <v>152</v>
      </c>
      <c r="I8" s="9" t="str">
        <f t="shared" ca="1" si="0"/>
        <v/>
      </c>
    </row>
    <row r="9" spans="2:9">
      <c r="B9" t="s">
        <v>153</v>
      </c>
      <c r="C9" t="s">
        <v>154</v>
      </c>
      <c r="D9" t="s">
        <v>155</v>
      </c>
      <c r="E9" s="1">
        <v>43176</v>
      </c>
      <c r="I9" s="9" t="str">
        <f t="shared" ca="1" si="0"/>
        <v>8 Years, 0 Months, 30 Days</v>
      </c>
    </row>
    <row r="10" spans="2:9">
      <c r="B10" t="s">
        <v>156</v>
      </c>
      <c r="C10" t="s">
        <v>157</v>
      </c>
      <c r="D10" t="s">
        <v>158</v>
      </c>
      <c r="I10" s="9" t="str">
        <f t="shared" ca="1" si="0"/>
        <v/>
      </c>
    </row>
    <row r="11" spans="2:9">
      <c r="B11" t="s">
        <v>133</v>
      </c>
      <c r="C11" t="s">
        <v>159</v>
      </c>
      <c r="D11" t="s">
        <v>135</v>
      </c>
      <c r="I11" s="9" t="str">
        <f t="shared" ca="1" si="0"/>
        <v/>
      </c>
    </row>
    <row r="12" spans="2:9">
      <c r="B12" t="s">
        <v>160</v>
      </c>
      <c r="C12" t="s">
        <v>161</v>
      </c>
      <c r="D12" t="s">
        <v>162</v>
      </c>
      <c r="I12" s="9" t="str">
        <f t="shared" ca="1" si="0"/>
        <v/>
      </c>
    </row>
    <row r="13" spans="2:9">
      <c r="B13" t="s">
        <v>163</v>
      </c>
      <c r="C13" t="s">
        <v>164</v>
      </c>
      <c r="D13" s="1" t="s">
        <v>165</v>
      </c>
      <c r="E13" s="1">
        <v>44636</v>
      </c>
      <c r="F13" t="s">
        <v>166</v>
      </c>
      <c r="G13" t="s">
        <v>167</v>
      </c>
      <c r="I13" s="9" t="str">
        <f t="shared" ca="1" si="0"/>
        <v>4 Years, 1 Months, 0 Days</v>
      </c>
    </row>
    <row r="14" spans="2:9">
      <c r="B14" t="s">
        <v>168</v>
      </c>
      <c r="C14" t="s">
        <v>169</v>
      </c>
      <c r="D14" t="s">
        <v>170</v>
      </c>
      <c r="I14" s="9" t="str">
        <f t="shared" ca="1" si="0"/>
        <v/>
      </c>
    </row>
    <row r="15" spans="2:9">
      <c r="B15" t="s">
        <v>171</v>
      </c>
      <c r="C15" t="s">
        <v>172</v>
      </c>
      <c r="D15" t="s">
        <v>173</v>
      </c>
      <c r="E15" s="1">
        <v>44425</v>
      </c>
      <c r="F15" t="s">
        <v>166</v>
      </c>
      <c r="G15" t="s">
        <v>174</v>
      </c>
      <c r="I15" s="9" t="str">
        <f t="shared" ca="1" si="0"/>
        <v>4 Years, 7 Months, 30 Days</v>
      </c>
    </row>
    <row r="16" spans="2:9" ht="18.95">
      <c r="B16" t="s">
        <v>175</v>
      </c>
      <c r="C16" t="s">
        <v>176</v>
      </c>
      <c r="I16" s="2" t="str">
        <f t="shared" ca="1" si="0"/>
        <v/>
      </c>
    </row>
    <row r="17" spans="2:9" ht="18.95">
      <c r="B17" t="s">
        <v>177</v>
      </c>
      <c r="I17" s="2" t="str">
        <f t="shared" ca="1" si="0"/>
        <v/>
      </c>
    </row>
    <row r="18" spans="2:9" ht="18.95">
      <c r="B18" t="s">
        <v>178</v>
      </c>
      <c r="C18" t="s">
        <v>179</v>
      </c>
      <c r="I18" s="2" t="str">
        <f t="shared" ca="1" si="0"/>
        <v/>
      </c>
    </row>
    <row r="19" spans="2:9" ht="18.95">
      <c r="I19" s="2" t="str">
        <f t="shared" ca="1" si="0"/>
        <v/>
      </c>
    </row>
    <row r="20" spans="2:9" ht="18.95">
      <c r="I20" s="2" t="str">
        <f t="shared" ca="1" si="0"/>
        <v/>
      </c>
    </row>
    <row r="21" spans="2:9" ht="18.95">
      <c r="I21" s="2" t="str">
        <f t="shared" ca="1" si="0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20FA-3F9C-C345-9C9A-C781666690BC}">
  <dimension ref="A1:R46"/>
  <sheetViews>
    <sheetView topLeftCell="B1" zoomScale="140" zoomScaleNormal="140" workbookViewId="0">
      <pane ySplit="1" topLeftCell="A2" activePane="bottomLeft" state="frozen"/>
      <selection pane="bottomLeft" activeCell="J3" sqref="J3"/>
    </sheetView>
  </sheetViews>
  <sheetFormatPr defaultColWidth="11" defaultRowHeight="15.95"/>
  <cols>
    <col min="1" max="1" width="2.125" customWidth="1"/>
    <col min="2" max="2" width="12.625" bestFit="1" customWidth="1"/>
    <col min="4" max="4" width="12.875" customWidth="1"/>
    <col min="5" max="5" width="18.625" customWidth="1"/>
    <col min="6" max="6" width="14.625" customWidth="1"/>
    <col min="7" max="7" width="17.375" customWidth="1"/>
    <col min="8" max="8" width="29.125" customWidth="1"/>
    <col min="9" max="9" width="12.5" bestFit="1" customWidth="1"/>
    <col min="10" max="10" width="25.375" bestFit="1" customWidth="1"/>
    <col min="11" max="11" width="10.875" bestFit="1" customWidth="1"/>
    <col min="14" max="14" width="15" bestFit="1" customWidth="1"/>
  </cols>
  <sheetData>
    <row r="1" spans="1:18" s="7" customFormat="1" ht="51" customHeight="1">
      <c r="B1" s="8" t="s">
        <v>180</v>
      </c>
      <c r="C1" s="7" t="s">
        <v>3</v>
      </c>
      <c r="D1" s="7" t="s">
        <v>181</v>
      </c>
      <c r="E1" s="7" t="s">
        <v>12</v>
      </c>
      <c r="F1" s="7" t="s">
        <v>182</v>
      </c>
      <c r="G1" s="7" t="s">
        <v>183</v>
      </c>
      <c r="H1" s="7" t="s">
        <v>184</v>
      </c>
      <c r="I1" s="7" t="s">
        <v>0</v>
      </c>
      <c r="J1" s="7" t="s">
        <v>1</v>
      </c>
      <c r="K1" s="7" t="s">
        <v>6</v>
      </c>
      <c r="L1" s="7" t="s">
        <v>185</v>
      </c>
      <c r="M1" s="7" t="s">
        <v>186</v>
      </c>
      <c r="N1" s="7" t="s">
        <v>187</v>
      </c>
      <c r="O1" s="7" t="s">
        <v>188</v>
      </c>
      <c r="P1" s="7" t="s">
        <v>189</v>
      </c>
    </row>
    <row r="2" spans="1:18">
      <c r="A2" s="10"/>
      <c r="B2" s="10" t="s">
        <v>72</v>
      </c>
      <c r="C2" s="11">
        <v>44768</v>
      </c>
      <c r="D2" s="10" t="s">
        <v>190</v>
      </c>
      <c r="E2" s="10" t="s">
        <v>49</v>
      </c>
      <c r="F2" s="10"/>
      <c r="G2" s="10"/>
      <c r="H2" s="10"/>
      <c r="I2" s="10" t="s">
        <v>191</v>
      </c>
      <c r="J2" s="10" t="s">
        <v>192</v>
      </c>
      <c r="K2" s="13" t="b">
        <v>0</v>
      </c>
      <c r="L2" s="13" t="b">
        <v>0</v>
      </c>
      <c r="M2" s="13" t="b">
        <v>0</v>
      </c>
      <c r="N2" s="13"/>
      <c r="O2" s="10"/>
      <c r="P2" s="10"/>
      <c r="Q2" s="10"/>
      <c r="R2" s="10"/>
    </row>
    <row r="3" spans="1:18">
      <c r="A3" s="10"/>
      <c r="B3" s="10"/>
      <c r="C3" s="11">
        <v>42643</v>
      </c>
      <c r="D3" s="10" t="s">
        <v>190</v>
      </c>
      <c r="E3" s="15" t="s">
        <v>16</v>
      </c>
      <c r="F3" s="10" t="s">
        <v>156</v>
      </c>
      <c r="G3" s="10"/>
      <c r="H3" s="10"/>
      <c r="I3" s="10" t="s">
        <v>119</v>
      </c>
      <c r="J3" s="10"/>
      <c r="K3" s="13" t="b">
        <v>0</v>
      </c>
      <c r="L3" s="13" t="b">
        <v>0</v>
      </c>
      <c r="M3" s="13" t="b">
        <v>0</v>
      </c>
      <c r="N3" s="13"/>
      <c r="O3" s="10"/>
      <c r="P3" s="10"/>
      <c r="Q3" s="10"/>
      <c r="R3" s="10"/>
    </row>
    <row r="4" spans="1:18">
      <c r="A4" s="10"/>
      <c r="B4" s="10"/>
      <c r="C4" s="11">
        <v>42643</v>
      </c>
      <c r="D4" s="10" t="s">
        <v>190</v>
      </c>
      <c r="E4" s="10" t="s">
        <v>16</v>
      </c>
      <c r="F4" s="10" t="s">
        <v>156</v>
      </c>
      <c r="G4" s="10"/>
      <c r="H4" s="10"/>
      <c r="I4" s="10" t="s">
        <v>28</v>
      </c>
      <c r="J4" s="10"/>
      <c r="K4" s="13" t="b">
        <v>0</v>
      </c>
      <c r="L4" s="13" t="b">
        <v>0</v>
      </c>
      <c r="M4" s="13" t="b">
        <v>0</v>
      </c>
      <c r="N4" s="13"/>
      <c r="O4" s="10"/>
      <c r="P4" s="10"/>
      <c r="Q4" s="10"/>
      <c r="R4" s="10"/>
    </row>
    <row r="5" spans="1:18">
      <c r="A5" s="10"/>
      <c r="B5" s="10"/>
      <c r="C5" s="11">
        <v>42643</v>
      </c>
      <c r="D5" s="10" t="s">
        <v>190</v>
      </c>
      <c r="E5" s="10" t="s">
        <v>16</v>
      </c>
      <c r="F5" s="10" t="s">
        <v>156</v>
      </c>
      <c r="G5" s="10"/>
      <c r="H5" s="10"/>
      <c r="I5" s="10" t="s">
        <v>193</v>
      </c>
      <c r="J5" s="10"/>
      <c r="K5" s="13" t="b">
        <v>0</v>
      </c>
      <c r="L5" s="13" t="b">
        <v>0</v>
      </c>
      <c r="M5" s="13" t="b">
        <v>0</v>
      </c>
      <c r="N5" s="13"/>
      <c r="O5" s="10"/>
      <c r="P5" s="10"/>
      <c r="Q5" s="10"/>
      <c r="R5" s="10"/>
    </row>
    <row r="6" spans="1:18">
      <c r="A6" s="10"/>
      <c r="B6" s="10"/>
      <c r="C6" s="11">
        <v>43172</v>
      </c>
      <c r="D6" s="10" t="s">
        <v>190</v>
      </c>
      <c r="E6" s="10" t="s">
        <v>16</v>
      </c>
      <c r="F6" s="10" t="s">
        <v>175</v>
      </c>
      <c r="G6" s="10"/>
      <c r="H6" s="10"/>
      <c r="I6" s="10" t="s">
        <v>124</v>
      </c>
      <c r="J6" s="10"/>
      <c r="K6" s="13" t="b">
        <v>0</v>
      </c>
      <c r="L6" s="13" t="b">
        <v>0</v>
      </c>
      <c r="M6" s="13" t="b">
        <v>0</v>
      </c>
      <c r="N6" s="13"/>
      <c r="O6" s="10"/>
      <c r="P6" s="10"/>
      <c r="Q6" s="10"/>
      <c r="R6" s="10"/>
    </row>
    <row r="7" spans="1:18">
      <c r="A7" s="10"/>
      <c r="B7" s="10"/>
      <c r="C7" s="11">
        <v>43172</v>
      </c>
      <c r="D7" s="10" t="s">
        <v>194</v>
      </c>
      <c r="E7" s="10" t="s">
        <v>16</v>
      </c>
      <c r="F7" s="10" t="s">
        <v>175</v>
      </c>
      <c r="G7" s="10"/>
      <c r="H7" s="10"/>
      <c r="I7" s="10"/>
      <c r="J7" s="10"/>
      <c r="K7" s="13" t="b">
        <v>0</v>
      </c>
      <c r="L7" s="13" t="b">
        <v>0</v>
      </c>
      <c r="M7" s="13" t="b">
        <v>0</v>
      </c>
      <c r="N7" s="13"/>
      <c r="O7" s="10"/>
      <c r="P7" s="10"/>
      <c r="Q7" s="10"/>
      <c r="R7" s="10"/>
    </row>
    <row r="8" spans="1:18">
      <c r="A8" s="10"/>
      <c r="B8" s="10"/>
      <c r="C8" s="11">
        <v>43703</v>
      </c>
      <c r="D8" s="10" t="s">
        <v>190</v>
      </c>
      <c r="E8" s="10" t="s">
        <v>16</v>
      </c>
      <c r="F8" s="10" t="s">
        <v>142</v>
      </c>
      <c r="G8" s="10"/>
      <c r="H8" s="10"/>
      <c r="I8" s="10" t="s">
        <v>125</v>
      </c>
      <c r="J8" s="10"/>
      <c r="K8" s="13" t="b">
        <v>0</v>
      </c>
      <c r="L8" s="13" t="b">
        <v>0</v>
      </c>
      <c r="M8" s="13" t="b">
        <v>0</v>
      </c>
      <c r="N8" s="13"/>
      <c r="O8" s="10"/>
      <c r="P8" s="10"/>
      <c r="Q8" s="10"/>
      <c r="R8" s="10"/>
    </row>
    <row r="9" spans="1:18">
      <c r="A9" s="10"/>
      <c r="B9" s="10"/>
      <c r="C9" s="11">
        <v>43703</v>
      </c>
      <c r="D9" s="10" t="s">
        <v>194</v>
      </c>
      <c r="E9" s="10" t="s">
        <v>16</v>
      </c>
      <c r="F9" s="10" t="s">
        <v>142</v>
      </c>
      <c r="G9" s="10"/>
      <c r="H9" s="10"/>
      <c r="I9" s="10"/>
      <c r="J9" s="10"/>
      <c r="K9" s="13" t="b">
        <v>0</v>
      </c>
      <c r="L9" s="13" t="b">
        <v>0</v>
      </c>
      <c r="M9" s="13" t="b">
        <v>0</v>
      </c>
      <c r="N9" s="13"/>
      <c r="O9" s="10"/>
      <c r="P9" s="10"/>
      <c r="Q9" s="10"/>
      <c r="R9" s="10"/>
    </row>
    <row r="10" spans="1:18">
      <c r="A10" s="10"/>
      <c r="B10" s="10"/>
      <c r="C10" s="11">
        <v>43703</v>
      </c>
      <c r="D10" s="10" t="s">
        <v>194</v>
      </c>
      <c r="E10" s="10" t="s">
        <v>16</v>
      </c>
      <c r="F10" s="10" t="s">
        <v>142</v>
      </c>
      <c r="G10" s="10"/>
      <c r="H10" s="10"/>
      <c r="I10" s="10"/>
      <c r="J10" s="10"/>
      <c r="K10" s="13" t="b">
        <v>0</v>
      </c>
      <c r="L10" s="13" t="b">
        <v>0</v>
      </c>
      <c r="M10" s="13" t="b">
        <v>0</v>
      </c>
      <c r="N10" s="13"/>
      <c r="O10" s="10"/>
      <c r="P10" s="10"/>
      <c r="Q10" s="10"/>
      <c r="R10" s="10"/>
    </row>
    <row r="11" spans="1:18">
      <c r="A11" s="10"/>
      <c r="B11" s="10"/>
      <c r="C11" s="11"/>
      <c r="D11" s="10" t="s">
        <v>190</v>
      </c>
      <c r="E11" s="10" t="s">
        <v>16</v>
      </c>
      <c r="F11" s="10" t="s">
        <v>145</v>
      </c>
      <c r="G11" s="10"/>
      <c r="H11" s="10"/>
      <c r="I11" s="10"/>
      <c r="J11" s="10"/>
      <c r="K11" s="13" t="b">
        <v>0</v>
      </c>
      <c r="L11" s="13" t="b">
        <v>0</v>
      </c>
      <c r="M11" s="13" t="b">
        <v>0</v>
      </c>
      <c r="N11" s="13"/>
      <c r="O11" s="10"/>
      <c r="P11" s="10"/>
      <c r="Q11" s="10"/>
      <c r="R11" s="10"/>
    </row>
    <row r="12" spans="1:18">
      <c r="A12" s="10"/>
      <c r="B12" s="10"/>
      <c r="C12" s="11"/>
      <c r="D12" s="10" t="s">
        <v>190</v>
      </c>
      <c r="E12" s="10" t="s">
        <v>16</v>
      </c>
      <c r="F12" s="10" t="s">
        <v>145</v>
      </c>
      <c r="G12" s="10"/>
      <c r="H12" s="10" t="s">
        <v>195</v>
      </c>
      <c r="I12" s="10"/>
      <c r="J12" s="10"/>
      <c r="K12" s="13" t="b">
        <v>0</v>
      </c>
      <c r="L12" s="13" t="b">
        <v>1</v>
      </c>
      <c r="M12" s="13" t="b">
        <v>0</v>
      </c>
      <c r="N12" s="13"/>
      <c r="O12" s="10"/>
      <c r="P12" s="10"/>
      <c r="Q12" s="10"/>
      <c r="R12" s="10"/>
    </row>
    <row r="13" spans="1:18">
      <c r="A13" s="10"/>
      <c r="B13" s="10"/>
      <c r="C13" s="11"/>
      <c r="D13" s="10" t="s">
        <v>194</v>
      </c>
      <c r="E13" s="10" t="s">
        <v>16</v>
      </c>
      <c r="F13" s="10" t="s">
        <v>145</v>
      </c>
      <c r="G13" s="10"/>
      <c r="H13" s="10"/>
      <c r="I13" s="10"/>
      <c r="J13" s="10"/>
      <c r="K13" s="13" t="b">
        <v>0</v>
      </c>
      <c r="L13" s="13" t="b">
        <v>0</v>
      </c>
      <c r="M13" s="13" t="b">
        <v>0</v>
      </c>
      <c r="N13" s="13"/>
      <c r="O13" s="10"/>
      <c r="P13" s="10"/>
      <c r="Q13" s="10"/>
      <c r="R13" s="10"/>
    </row>
    <row r="14" spans="1:18">
      <c r="A14" s="10"/>
      <c r="B14" s="10"/>
      <c r="C14" s="11"/>
      <c r="D14" s="10" t="s">
        <v>190</v>
      </c>
      <c r="E14" s="10" t="s">
        <v>28</v>
      </c>
      <c r="F14" s="10" t="s">
        <v>148</v>
      </c>
      <c r="G14" s="10"/>
      <c r="H14" s="10"/>
      <c r="I14" s="10" t="s">
        <v>37</v>
      </c>
      <c r="J14" s="10"/>
      <c r="K14" s="13" t="b">
        <v>0</v>
      </c>
      <c r="L14" s="13" t="b">
        <v>0</v>
      </c>
      <c r="M14" s="13" t="b">
        <v>0</v>
      </c>
      <c r="N14" s="13"/>
      <c r="O14" s="10"/>
      <c r="P14" s="10"/>
      <c r="Q14" s="10"/>
      <c r="R14" s="10"/>
    </row>
    <row r="15" spans="1:18">
      <c r="A15" s="10"/>
      <c r="B15" s="10"/>
      <c r="C15" s="11"/>
      <c r="D15" s="10" t="s">
        <v>196</v>
      </c>
      <c r="E15" s="10" t="s">
        <v>28</v>
      </c>
      <c r="F15" s="10" t="s">
        <v>148</v>
      </c>
      <c r="G15" s="10"/>
      <c r="H15" s="10"/>
      <c r="I15" s="10" t="s">
        <v>197</v>
      </c>
      <c r="J15" s="10"/>
      <c r="K15" s="13" t="b">
        <v>0</v>
      </c>
      <c r="L15" s="13" t="b">
        <v>1</v>
      </c>
      <c r="M15" s="13" t="b">
        <v>0</v>
      </c>
      <c r="N15" s="13"/>
      <c r="O15" s="10"/>
      <c r="P15" s="10"/>
      <c r="Q15" s="10"/>
      <c r="R15" s="10"/>
    </row>
    <row r="16" spans="1:18">
      <c r="A16" s="10"/>
      <c r="B16" s="10"/>
      <c r="C16" s="11"/>
      <c r="D16" s="10" t="s">
        <v>196</v>
      </c>
      <c r="E16" s="10" t="s">
        <v>28</v>
      </c>
      <c r="F16" s="10" t="s">
        <v>148</v>
      </c>
      <c r="G16" s="10"/>
      <c r="H16" s="10" t="s">
        <v>198</v>
      </c>
      <c r="I16" s="10"/>
      <c r="J16" s="10"/>
      <c r="K16" s="13" t="b">
        <v>0</v>
      </c>
      <c r="L16" s="13" t="b">
        <v>0</v>
      </c>
      <c r="M16" s="13" t="b">
        <v>0</v>
      </c>
      <c r="N16" s="13"/>
      <c r="O16" s="10"/>
      <c r="P16" s="10"/>
      <c r="Q16" s="10"/>
      <c r="R16" s="10"/>
    </row>
    <row r="17" spans="1:18">
      <c r="A17" s="10"/>
      <c r="B17" s="10"/>
      <c r="C17" s="11"/>
      <c r="D17" s="10" t="s">
        <v>190</v>
      </c>
      <c r="E17" s="10" t="s">
        <v>28</v>
      </c>
      <c r="F17" s="10" t="s">
        <v>136</v>
      </c>
      <c r="G17" s="10"/>
      <c r="H17" s="10"/>
      <c r="I17" s="10" t="s">
        <v>49</v>
      </c>
      <c r="J17" s="10"/>
      <c r="K17" s="13" t="b">
        <v>0</v>
      </c>
      <c r="L17" s="13" t="b">
        <v>0</v>
      </c>
      <c r="M17" s="13" t="b">
        <v>0</v>
      </c>
      <c r="N17" s="13"/>
      <c r="O17" s="10"/>
      <c r="P17" s="10"/>
      <c r="Q17" s="10"/>
      <c r="R17" s="10"/>
    </row>
    <row r="18" spans="1:18">
      <c r="A18" s="10"/>
      <c r="B18" s="10"/>
      <c r="C18" s="11"/>
      <c r="D18" s="10" t="s">
        <v>190</v>
      </c>
      <c r="E18" s="10" t="s">
        <v>28</v>
      </c>
      <c r="F18" s="10" t="s">
        <v>136</v>
      </c>
      <c r="G18" s="10"/>
      <c r="H18" s="10" t="s">
        <v>199</v>
      </c>
      <c r="I18" s="10" t="s">
        <v>200</v>
      </c>
      <c r="J18" s="10"/>
      <c r="K18" s="13" t="b">
        <v>0</v>
      </c>
      <c r="L18" s="13" t="b">
        <v>0</v>
      </c>
      <c r="M18" s="13" t="b">
        <v>0</v>
      </c>
      <c r="N18" s="13"/>
      <c r="O18" s="10"/>
      <c r="P18" s="10"/>
      <c r="Q18" s="10"/>
      <c r="R18" s="10"/>
    </row>
    <row r="19" spans="1:18">
      <c r="A19" s="10"/>
      <c r="B19" s="10"/>
      <c r="C19" s="11"/>
      <c r="D19" s="10" t="s">
        <v>190</v>
      </c>
      <c r="E19" s="10" t="s">
        <v>28</v>
      </c>
      <c r="F19" s="10" t="s">
        <v>136</v>
      </c>
      <c r="G19" s="10"/>
      <c r="H19" s="10" t="s">
        <v>195</v>
      </c>
      <c r="I19" s="10"/>
      <c r="J19" s="10"/>
      <c r="K19" s="13" t="b">
        <v>0</v>
      </c>
      <c r="L19" s="13" t="b">
        <v>1</v>
      </c>
      <c r="M19" s="13" t="b">
        <v>0</v>
      </c>
      <c r="N19" s="13"/>
      <c r="O19" s="10"/>
      <c r="P19" s="10"/>
      <c r="Q19" s="10"/>
      <c r="R19" s="10"/>
    </row>
    <row r="20" spans="1:18">
      <c r="A20" s="10"/>
      <c r="B20" s="10"/>
      <c r="C20" s="11"/>
      <c r="D20" s="10" t="s">
        <v>190</v>
      </c>
      <c r="E20" s="10" t="s">
        <v>28</v>
      </c>
      <c r="F20" s="10" t="s">
        <v>153</v>
      </c>
      <c r="G20" s="10"/>
      <c r="H20" s="10"/>
      <c r="I20" s="10" t="s">
        <v>57</v>
      </c>
      <c r="J20" s="10"/>
      <c r="K20" s="13" t="b">
        <v>0</v>
      </c>
      <c r="L20" s="13" t="b">
        <v>0</v>
      </c>
      <c r="M20" s="13" t="b">
        <v>0</v>
      </c>
      <c r="N20" s="13"/>
      <c r="O20" s="10"/>
      <c r="P20" s="10"/>
      <c r="Q20" s="10"/>
      <c r="R20" s="10"/>
    </row>
    <row r="21" spans="1:18">
      <c r="A21" s="10"/>
      <c r="B21" s="10"/>
      <c r="C21" s="11"/>
      <c r="D21" s="10" t="s">
        <v>194</v>
      </c>
      <c r="E21" s="10" t="s">
        <v>28</v>
      </c>
      <c r="F21" s="10" t="s">
        <v>153</v>
      </c>
      <c r="G21" s="10"/>
      <c r="H21" s="10"/>
      <c r="I21" s="10"/>
      <c r="J21" s="10"/>
      <c r="K21" s="13" t="b">
        <v>0</v>
      </c>
      <c r="L21" s="13" t="b">
        <v>0</v>
      </c>
      <c r="M21" s="13" t="b">
        <v>0</v>
      </c>
      <c r="N21" s="13"/>
      <c r="O21" s="10"/>
      <c r="P21" s="10"/>
      <c r="Q21" s="10"/>
      <c r="R21" s="10"/>
    </row>
    <row r="22" spans="1:18">
      <c r="A22" s="10"/>
      <c r="B22" s="10"/>
      <c r="C22" s="11"/>
      <c r="D22" s="10" t="s">
        <v>190</v>
      </c>
      <c r="E22" s="10" t="s">
        <v>119</v>
      </c>
      <c r="F22" s="10" t="s">
        <v>148</v>
      </c>
      <c r="G22" s="10"/>
      <c r="H22" s="10"/>
      <c r="I22" s="10" t="s">
        <v>201</v>
      </c>
      <c r="J22" s="10"/>
      <c r="K22" s="13" t="b">
        <v>0</v>
      </c>
      <c r="L22" s="13" t="b">
        <v>0</v>
      </c>
      <c r="M22" s="13" t="b">
        <v>0</v>
      </c>
      <c r="N22" s="13"/>
      <c r="O22" s="10"/>
      <c r="P22" s="10"/>
      <c r="Q22" s="10"/>
      <c r="R22" s="10"/>
    </row>
    <row r="23" spans="1:18">
      <c r="A23" s="10"/>
      <c r="B23" s="10"/>
      <c r="C23" s="11"/>
      <c r="D23" s="10" t="s">
        <v>190</v>
      </c>
      <c r="E23" s="10" t="s">
        <v>119</v>
      </c>
      <c r="F23" s="10" t="s">
        <v>148</v>
      </c>
      <c r="G23" s="10"/>
      <c r="H23" s="10"/>
      <c r="I23" s="10" t="s">
        <v>202</v>
      </c>
      <c r="J23" s="10"/>
      <c r="K23" s="13" t="b">
        <v>0</v>
      </c>
      <c r="L23" s="13" t="b">
        <v>0</v>
      </c>
      <c r="M23" s="13" t="b">
        <v>0</v>
      </c>
      <c r="N23" s="13"/>
      <c r="O23" s="10"/>
      <c r="P23" s="10"/>
      <c r="Q23" s="10"/>
      <c r="R23" s="10"/>
    </row>
    <row r="24" spans="1:18">
      <c r="A24" s="10"/>
      <c r="B24" s="10"/>
      <c r="C24" s="11"/>
      <c r="D24" s="10" t="s">
        <v>190</v>
      </c>
      <c r="E24" s="10" t="s">
        <v>119</v>
      </c>
      <c r="F24" s="10" t="s">
        <v>136</v>
      </c>
      <c r="G24" s="10"/>
      <c r="H24" s="10"/>
      <c r="I24" s="10" t="s">
        <v>45</v>
      </c>
      <c r="J24" s="10"/>
      <c r="K24" s="13" t="b">
        <v>0</v>
      </c>
      <c r="L24" s="13" t="b">
        <v>0</v>
      </c>
      <c r="M24" s="13" t="b">
        <v>0</v>
      </c>
      <c r="N24" s="13"/>
      <c r="O24" s="10"/>
      <c r="P24" s="10"/>
      <c r="Q24" s="10"/>
      <c r="R24" s="10"/>
    </row>
    <row r="25" spans="1:18">
      <c r="A25" s="10"/>
      <c r="B25" s="10"/>
      <c r="C25" s="11"/>
      <c r="D25" s="10" t="s">
        <v>196</v>
      </c>
      <c r="E25" s="10" t="s">
        <v>119</v>
      </c>
      <c r="F25" s="10" t="s">
        <v>136</v>
      </c>
      <c r="G25" s="10"/>
      <c r="H25" s="10" t="s">
        <v>198</v>
      </c>
      <c r="I25" s="10"/>
      <c r="J25" s="10"/>
      <c r="K25" s="13" t="b">
        <v>0</v>
      </c>
      <c r="L25" s="13" t="b">
        <v>0</v>
      </c>
      <c r="M25" s="13" t="b">
        <v>0</v>
      </c>
      <c r="N25" s="13"/>
      <c r="O25" s="10"/>
      <c r="P25" s="10"/>
      <c r="Q25" s="10"/>
      <c r="R25" s="10"/>
    </row>
    <row r="26" spans="1:18">
      <c r="A26" s="10"/>
      <c r="B26" s="10"/>
      <c r="C26" s="11"/>
      <c r="D26" s="10" t="s">
        <v>190</v>
      </c>
      <c r="E26" s="10" t="s">
        <v>119</v>
      </c>
      <c r="F26" s="10" t="s">
        <v>145</v>
      </c>
      <c r="G26" s="10"/>
      <c r="H26" s="10" t="s">
        <v>199</v>
      </c>
      <c r="I26" s="10"/>
      <c r="J26" s="10"/>
      <c r="K26" s="13" t="b">
        <v>0</v>
      </c>
      <c r="L26" s="13" t="b">
        <v>0</v>
      </c>
      <c r="M26" s="13" t="b">
        <v>0</v>
      </c>
      <c r="N26" s="13"/>
      <c r="O26" s="10"/>
      <c r="P26" s="10"/>
      <c r="Q26" s="10"/>
      <c r="R26" s="10"/>
    </row>
    <row r="27" spans="1:18">
      <c r="A27" s="10"/>
      <c r="B27" s="10"/>
      <c r="C27" s="11"/>
      <c r="D27" s="10" t="s">
        <v>190</v>
      </c>
      <c r="E27" s="10" t="s">
        <v>119</v>
      </c>
      <c r="F27" s="10" t="s">
        <v>145</v>
      </c>
      <c r="G27" s="10"/>
      <c r="H27" s="10" t="s">
        <v>199</v>
      </c>
      <c r="I27" s="10"/>
      <c r="J27" s="10"/>
      <c r="K27" s="13" t="b">
        <v>0</v>
      </c>
      <c r="L27" s="13" t="b">
        <v>0</v>
      </c>
      <c r="M27" s="13" t="b">
        <v>0</v>
      </c>
      <c r="N27" s="13"/>
      <c r="O27" s="10"/>
      <c r="P27" s="10"/>
      <c r="Q27" s="10"/>
      <c r="R27" s="10"/>
    </row>
    <row r="28" spans="1:18">
      <c r="A28" s="10"/>
      <c r="B28" s="10"/>
      <c r="C28" s="11"/>
      <c r="D28" s="10" t="s">
        <v>190</v>
      </c>
      <c r="E28" s="10" t="s">
        <v>119</v>
      </c>
      <c r="F28" s="10" t="s">
        <v>145</v>
      </c>
      <c r="G28" s="10"/>
      <c r="H28" s="10" t="s">
        <v>195</v>
      </c>
      <c r="I28" s="10"/>
      <c r="J28" s="10"/>
      <c r="K28" s="13" t="b">
        <v>0</v>
      </c>
      <c r="L28" s="13" t="b">
        <v>1</v>
      </c>
      <c r="M28" s="13" t="b">
        <v>0</v>
      </c>
      <c r="N28" s="13"/>
      <c r="O28" s="10"/>
      <c r="P28" s="10"/>
      <c r="Q28" s="10"/>
      <c r="R28" s="10"/>
    </row>
    <row r="29" spans="1:18">
      <c r="A29" s="10"/>
      <c r="B29" s="10"/>
      <c r="C29" s="11"/>
      <c r="D29" s="10" t="s">
        <v>194</v>
      </c>
      <c r="E29" s="10" t="s">
        <v>119</v>
      </c>
      <c r="F29" s="10" t="s">
        <v>145</v>
      </c>
      <c r="G29" s="10"/>
      <c r="H29" s="10"/>
      <c r="I29" s="10"/>
      <c r="J29" s="10"/>
      <c r="K29" s="13" t="b">
        <v>0</v>
      </c>
      <c r="L29" s="13" t="b">
        <v>0</v>
      </c>
      <c r="M29" s="13" t="b">
        <v>0</v>
      </c>
      <c r="N29" s="13"/>
      <c r="O29" s="10"/>
      <c r="P29" s="10"/>
      <c r="Q29" s="10"/>
      <c r="R29" s="10"/>
    </row>
    <row r="30" spans="1:18">
      <c r="A30" s="10"/>
      <c r="B30" s="10"/>
      <c r="C30" s="11"/>
      <c r="D30" s="10" t="s">
        <v>190</v>
      </c>
      <c r="E30" s="10" t="s">
        <v>124</v>
      </c>
      <c r="F30" s="10" t="s">
        <v>142</v>
      </c>
      <c r="G30" s="10"/>
      <c r="H30" s="10"/>
      <c r="I30" s="10" t="s">
        <v>203</v>
      </c>
      <c r="J30" s="10"/>
      <c r="K30" s="13" t="b">
        <v>0</v>
      </c>
      <c r="L30" s="13" t="b">
        <v>0</v>
      </c>
      <c r="M30" s="13" t="b">
        <v>0</v>
      </c>
      <c r="N30" s="13"/>
      <c r="O30" s="10"/>
      <c r="P30" s="10"/>
      <c r="Q30" s="10"/>
      <c r="R30" s="10"/>
    </row>
    <row r="31" spans="1:18">
      <c r="A31" s="10"/>
      <c r="B31" s="10"/>
      <c r="C31" s="10"/>
      <c r="D31" s="10" t="s">
        <v>190</v>
      </c>
      <c r="E31" s="10" t="s">
        <v>124</v>
      </c>
      <c r="F31" s="10" t="s">
        <v>142</v>
      </c>
      <c r="G31" s="10"/>
      <c r="H31" s="10"/>
      <c r="I31" s="10" t="s">
        <v>204</v>
      </c>
      <c r="J31" s="10"/>
      <c r="K31" s="13" t="b">
        <v>0</v>
      </c>
      <c r="L31" s="13" t="b">
        <v>0</v>
      </c>
      <c r="M31" s="13" t="b">
        <v>0</v>
      </c>
      <c r="N31" s="13"/>
      <c r="O31" s="10"/>
      <c r="P31" s="10"/>
      <c r="Q31" s="10"/>
      <c r="R31" s="10"/>
    </row>
    <row r="32" spans="1:18">
      <c r="A32" s="10"/>
      <c r="B32" s="10"/>
      <c r="C32" s="10"/>
      <c r="D32" s="10" t="s">
        <v>190</v>
      </c>
      <c r="E32" s="10" t="s">
        <v>124</v>
      </c>
      <c r="F32" s="10" t="s">
        <v>136</v>
      </c>
      <c r="G32" s="10"/>
      <c r="H32" s="10"/>
      <c r="I32" s="10" t="s">
        <v>41</v>
      </c>
      <c r="J32" s="10"/>
      <c r="K32" s="13" t="b">
        <v>0</v>
      </c>
      <c r="L32" s="13" t="b">
        <v>0</v>
      </c>
      <c r="M32" s="13" t="b">
        <v>0</v>
      </c>
      <c r="N32" s="13"/>
      <c r="O32" s="10"/>
      <c r="P32" s="10"/>
      <c r="Q32" s="10"/>
      <c r="R32" s="10"/>
    </row>
    <row r="33" spans="1:18">
      <c r="A33" s="10"/>
      <c r="B33" s="10"/>
      <c r="C33" s="10"/>
      <c r="D33" s="10" t="s">
        <v>190</v>
      </c>
      <c r="E33" s="10" t="s">
        <v>37</v>
      </c>
      <c r="F33" s="10" t="s">
        <v>136</v>
      </c>
      <c r="G33" s="10"/>
      <c r="H33" s="10" t="s">
        <v>199</v>
      </c>
      <c r="I33" s="10" t="s">
        <v>205</v>
      </c>
      <c r="J33" s="10"/>
      <c r="K33" s="13" t="b">
        <v>0</v>
      </c>
      <c r="L33" s="13" t="b">
        <v>0</v>
      </c>
      <c r="M33" s="13" t="b">
        <v>0</v>
      </c>
      <c r="N33" s="13" t="b">
        <v>0</v>
      </c>
      <c r="O33" s="10"/>
      <c r="P33" s="10"/>
      <c r="Q33" s="10"/>
      <c r="R33" s="10"/>
    </row>
    <row r="34" spans="1:18">
      <c r="A34" s="10"/>
      <c r="B34" s="10"/>
      <c r="C34" s="10"/>
      <c r="D34" s="10" t="s">
        <v>194</v>
      </c>
      <c r="E34" s="10" t="s">
        <v>37</v>
      </c>
      <c r="F34" s="10" t="s">
        <v>136</v>
      </c>
      <c r="G34" s="10"/>
      <c r="H34" s="10"/>
      <c r="I34" s="10"/>
      <c r="J34" s="10"/>
      <c r="K34" s="13" t="b">
        <v>0</v>
      </c>
      <c r="L34" s="13" t="b">
        <v>0</v>
      </c>
      <c r="M34" s="13" t="b">
        <v>0</v>
      </c>
      <c r="N34" s="13" t="b">
        <v>0</v>
      </c>
      <c r="O34" s="10"/>
      <c r="P34" s="10"/>
      <c r="Q34" s="10"/>
      <c r="R34" s="10"/>
    </row>
    <row r="35" spans="1:18">
      <c r="A35" s="10"/>
      <c r="B35" s="10"/>
      <c r="C35" s="10"/>
      <c r="D35" s="10" t="s">
        <v>190</v>
      </c>
      <c r="E35" s="10" t="s">
        <v>37</v>
      </c>
      <c r="F35" s="10" t="s">
        <v>139</v>
      </c>
      <c r="G35" s="10"/>
      <c r="H35" s="10"/>
      <c r="I35" s="10" t="s">
        <v>206</v>
      </c>
      <c r="J35" s="10"/>
      <c r="K35" s="13" t="b">
        <v>0</v>
      </c>
      <c r="L35" s="13" t="b">
        <v>0</v>
      </c>
      <c r="M35" s="13" t="b">
        <v>0</v>
      </c>
      <c r="N35" s="13" t="b">
        <v>0</v>
      </c>
      <c r="O35" s="10"/>
      <c r="P35" s="10"/>
      <c r="Q35" s="10"/>
      <c r="R35" s="10"/>
    </row>
    <row r="36" spans="1:18">
      <c r="A36" s="10"/>
      <c r="B36" s="10"/>
      <c r="C36" s="10"/>
      <c r="D36" s="10" t="s">
        <v>190</v>
      </c>
      <c r="E36" s="10" t="s">
        <v>37</v>
      </c>
      <c r="F36" s="10" t="s">
        <v>139</v>
      </c>
      <c r="G36" s="10"/>
      <c r="H36" s="10" t="s">
        <v>199</v>
      </c>
      <c r="I36" s="10"/>
      <c r="J36" s="10"/>
      <c r="K36" s="13" t="b">
        <v>0</v>
      </c>
      <c r="L36" s="13" t="b">
        <v>0</v>
      </c>
      <c r="M36" s="13" t="b">
        <v>0</v>
      </c>
      <c r="N36" s="13" t="b">
        <v>0</v>
      </c>
      <c r="O36" s="10"/>
      <c r="P36" s="10"/>
      <c r="Q36" s="10"/>
      <c r="R36" s="10"/>
    </row>
    <row r="37" spans="1:18">
      <c r="A37" s="10"/>
      <c r="B37" s="10"/>
      <c r="C37" s="10"/>
      <c r="D37" s="10" t="s">
        <v>194</v>
      </c>
      <c r="E37" s="10" t="s">
        <v>37</v>
      </c>
      <c r="F37" s="10" t="s">
        <v>133</v>
      </c>
      <c r="G37" s="10"/>
      <c r="H37" s="10" t="s">
        <v>199</v>
      </c>
      <c r="I37" s="10"/>
      <c r="J37" s="10"/>
      <c r="K37" s="13" t="b">
        <v>0</v>
      </c>
      <c r="L37" s="13" t="b">
        <v>0</v>
      </c>
      <c r="M37" s="13" t="b">
        <v>0</v>
      </c>
      <c r="N37" s="13" t="b">
        <v>0</v>
      </c>
      <c r="O37" s="10"/>
      <c r="P37" s="10"/>
      <c r="Q37" s="10"/>
      <c r="R37" s="10"/>
    </row>
    <row r="38" spans="1:18">
      <c r="A38" s="10"/>
      <c r="B38" s="10"/>
      <c r="C38" s="10"/>
      <c r="D38" s="10" t="s">
        <v>194</v>
      </c>
      <c r="E38" s="10" t="s">
        <v>37</v>
      </c>
      <c r="F38" s="10" t="s">
        <v>133</v>
      </c>
      <c r="G38" s="10"/>
      <c r="H38" s="10" t="s">
        <v>195</v>
      </c>
      <c r="I38" s="10"/>
      <c r="J38" s="10"/>
      <c r="K38" s="13" t="b">
        <v>0</v>
      </c>
      <c r="L38" s="13" t="b">
        <v>1</v>
      </c>
      <c r="M38" s="13" t="b">
        <v>0</v>
      </c>
      <c r="N38" s="13" t="b">
        <v>0</v>
      </c>
      <c r="O38" s="10"/>
      <c r="P38" s="10"/>
      <c r="Q38" s="10"/>
      <c r="R38" s="10"/>
    </row>
    <row r="39" spans="1:18">
      <c r="A39" s="10"/>
      <c r="B39" s="10"/>
      <c r="C39" s="10"/>
      <c r="D39" s="10" t="s">
        <v>190</v>
      </c>
      <c r="E39" s="10" t="s">
        <v>125</v>
      </c>
      <c r="F39" s="10" t="s">
        <v>177</v>
      </c>
      <c r="G39" s="10"/>
      <c r="H39" s="10"/>
      <c r="I39" s="10" t="s">
        <v>207</v>
      </c>
      <c r="J39" s="10"/>
      <c r="K39" s="13" t="b">
        <v>0</v>
      </c>
      <c r="L39" s="13" t="b">
        <v>0</v>
      </c>
      <c r="M39" s="13" t="b">
        <v>0</v>
      </c>
      <c r="N39" s="13" t="b">
        <v>0</v>
      </c>
      <c r="O39" s="10"/>
      <c r="P39" s="10"/>
      <c r="Q39" s="10"/>
      <c r="R39" s="10"/>
    </row>
    <row r="40" spans="1:18">
      <c r="A40" s="10"/>
      <c r="B40" s="10"/>
      <c r="C40" s="10"/>
      <c r="D40" s="10" t="s">
        <v>194</v>
      </c>
      <c r="E40" s="10" t="s">
        <v>125</v>
      </c>
      <c r="F40" s="10" t="s">
        <v>177</v>
      </c>
      <c r="G40" s="10"/>
      <c r="H40" s="10" t="s">
        <v>199</v>
      </c>
      <c r="I40" s="10"/>
      <c r="J40" s="10"/>
      <c r="K40" s="13" t="b">
        <v>0</v>
      </c>
      <c r="L40" s="13" t="b">
        <v>0</v>
      </c>
      <c r="M40" s="13" t="b">
        <v>0</v>
      </c>
      <c r="N40" s="13" t="b">
        <v>0</v>
      </c>
      <c r="O40" s="10"/>
      <c r="P40" s="10"/>
      <c r="Q40" s="10"/>
      <c r="R40" s="10"/>
    </row>
    <row r="41" spans="1:18">
      <c r="A41" s="10"/>
      <c r="B41" s="10" t="s">
        <v>208</v>
      </c>
      <c r="C41" s="10"/>
      <c r="D41" s="10"/>
      <c r="E41" s="10"/>
      <c r="F41" s="10"/>
      <c r="G41" s="10"/>
      <c r="H41" s="10"/>
      <c r="I41" s="10"/>
      <c r="J41" s="10"/>
      <c r="K41" s="13" t="b">
        <v>0</v>
      </c>
      <c r="L41" s="13" t="b">
        <v>0</v>
      </c>
      <c r="M41" s="13" t="b">
        <v>0</v>
      </c>
      <c r="N41" s="13" t="b">
        <v>0</v>
      </c>
      <c r="O41" s="10"/>
      <c r="P41" s="10"/>
      <c r="Q41" s="10"/>
      <c r="R41" s="10"/>
    </row>
    <row r="42" spans="1:18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3" t="b">
        <v>0</v>
      </c>
      <c r="L42" s="13" t="b">
        <v>0</v>
      </c>
      <c r="M42" s="13" t="b">
        <v>0</v>
      </c>
      <c r="N42" s="13" t="b">
        <v>0</v>
      </c>
      <c r="O42" s="10"/>
      <c r="P42" s="10"/>
      <c r="Q42" s="10"/>
      <c r="R42" s="10"/>
    </row>
    <row r="43" spans="1:18">
      <c r="D43" s="10"/>
      <c r="K43" s="14" t="b">
        <v>0</v>
      </c>
      <c r="L43" s="14" t="b">
        <v>0</v>
      </c>
      <c r="M43" s="14" t="b">
        <v>0</v>
      </c>
      <c r="N43" s="14" t="b">
        <v>0</v>
      </c>
    </row>
    <row r="44" spans="1:18">
      <c r="D44" s="10"/>
      <c r="K44" s="14" t="b">
        <v>0</v>
      </c>
      <c r="L44" s="14" t="b">
        <v>0</v>
      </c>
      <c r="M44" s="14" t="b">
        <v>0</v>
      </c>
      <c r="N44" s="14" t="b">
        <v>0</v>
      </c>
    </row>
    <row r="45" spans="1:18">
      <c r="D45" s="10"/>
      <c r="K45" s="14" t="b">
        <v>0</v>
      </c>
      <c r="L45" s="14" t="b">
        <v>0</v>
      </c>
      <c r="M45" s="14" t="b">
        <v>0</v>
      </c>
      <c r="N45" s="14" t="b">
        <v>0</v>
      </c>
    </row>
    <row r="46" spans="1:18">
      <c r="D46" s="10"/>
      <c r="K46" s="14" t="b">
        <v>0</v>
      </c>
      <c r="L46" s="14" t="b">
        <v>0</v>
      </c>
      <c r="M46" s="14" t="b">
        <v>0</v>
      </c>
      <c r="N46" s="14" t="b">
        <v>0</v>
      </c>
    </row>
  </sheetData>
  <autoFilter ref="A1:R46" xr:uid="{2ED920FA-3F9C-C345-9C9A-C781666690BC}"/>
  <sortState xmlns:xlrd2="http://schemas.microsoft.com/office/spreadsheetml/2017/richdata2" ref="B2:P2">
    <sortCondition ref="C1:C2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05667E7-A41F-6D44-B5A4-DFF1FBB0E985}">
          <x14:formula1>
            <xm:f>Notes!$B$3:$B$5</xm:f>
          </x14:formula1>
          <xm:sqref>D2:D29 D30:D61</xm:sqref>
        </x14:dataValidation>
        <x14:dataValidation type="list" allowBlank="1" showInputMessage="1" showErrorMessage="1" xr:uid="{B34FC635-37AC-6648-BD9F-8AC5633B9E47}">
          <x14:formula1>
            <xm:f>Notes!$B$7:$B$8</xm:f>
          </x14:formula1>
          <xm:sqref>L47:L76 N2:N32 M47:M50</xm:sqref>
        </x14:dataValidation>
        <x14:dataValidation type="list" allowBlank="1" showInputMessage="1" showErrorMessage="1" xr:uid="{3024B99C-80D0-8B4D-A203-DC199BD706EE}">
          <x14:formula1>
            <xm:f>Sire!$B$2:$B$33</xm:f>
          </x14:formula1>
          <xm:sqref>F2:F33</xm:sqref>
        </x14:dataValidation>
        <x14:dataValidation type="list" allowBlank="1" showInputMessage="1" showErrorMessage="1" xr:uid="{16CBDFBE-3C92-4A48-8821-2C50E22D0A2D}">
          <x14:formula1>
            <xm:f>Dam!$B$2:$B$44</xm:f>
          </x14:formula1>
          <xm:sqref>E2:E70</xm:sqref>
        </x14:dataValidation>
        <x14:dataValidation type="list" allowBlank="1" showInputMessage="1" showErrorMessage="1" xr:uid="{65FF7B10-6478-A84A-BC5F-F6EADF7C8A7F}">
          <x14:formula1>
            <xm:f>Sire!$B$2:$B$32</xm:f>
          </x14:formula1>
          <xm:sqref>F34:F65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14A8-7DD3-8A42-BAC2-DE1DA5F8F19B}">
  <dimension ref="B2:B8"/>
  <sheetViews>
    <sheetView workbookViewId="0">
      <selection activeCell="B10" sqref="B10"/>
    </sheetView>
  </sheetViews>
  <sheetFormatPr defaultColWidth="11" defaultRowHeight="15.95"/>
  <sheetData>
    <row r="2" spans="2:2">
      <c r="B2" t="s">
        <v>181</v>
      </c>
    </row>
    <row r="3" spans="2:2">
      <c r="B3" t="s">
        <v>196</v>
      </c>
    </row>
    <row r="4" spans="2:2">
      <c r="B4" t="s">
        <v>190</v>
      </c>
    </row>
    <row r="5" spans="2:2">
      <c r="B5" t="s">
        <v>194</v>
      </c>
    </row>
    <row r="7" spans="2:2">
      <c r="B7" t="s">
        <v>73</v>
      </c>
    </row>
    <row r="8" spans="2:2">
      <c r="B8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Hugh Raiford</dc:creator>
  <cp:keywords/>
  <dc:description/>
  <cp:lastModifiedBy/>
  <cp:revision/>
  <dcterms:created xsi:type="dcterms:W3CDTF">2026-01-25T21:03:04Z</dcterms:created>
  <dcterms:modified xsi:type="dcterms:W3CDTF">2026-04-16T14:44:51Z</dcterms:modified>
  <cp:category/>
  <cp:contentStatus/>
</cp:coreProperties>
</file>